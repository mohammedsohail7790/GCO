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lot calculator" sheetId="1" state="visible" r:id="rId1"/>
    <sheet name="How to use"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sz val="14"/>
    </font>
    <font>
      <b val="1"/>
      <color rgb="00FFFFFF"/>
    </font>
    <font>
      <b val="1"/>
    </font>
  </fonts>
  <fills count="7">
    <fill>
      <patternFill/>
    </fill>
    <fill>
      <patternFill patternType="gray125"/>
    </fill>
    <fill>
      <patternFill patternType="solid">
        <fgColor rgb="00FDE9E7"/>
      </patternFill>
    </fill>
    <fill>
      <patternFill patternType="solid">
        <fgColor rgb="001F3A5F"/>
      </patternFill>
    </fill>
    <fill>
      <patternFill patternType="solid">
        <fgColor rgb="00D9E2F3"/>
      </patternFill>
    </fill>
    <fill>
      <patternFill patternType="solid">
        <fgColor rgb="00FFF2CC"/>
      </patternFill>
    </fill>
    <fill>
      <patternFill patternType="solid">
        <fgColor rgb="00E8F0E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2" fillId="3" borderId="1" pivotButton="0" quotePrefix="0" xfId="0"/>
    <xf numFmtId="0" fontId="3" fillId="4"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0" borderId="1" applyAlignment="1" pivotButton="0" quotePrefix="0" xfId="0">
      <alignment vertical="top" wrapText="1"/>
    </xf>
    <xf numFmtId="9" fontId="0" fillId="5" borderId="1" pivotButton="0" quotePrefix="0" xfId="0"/>
    <xf numFmtId="2" fontId="0" fillId="5" borderId="1" pivotButton="0" quotePrefix="0" xfId="0"/>
    <xf numFmtId="164" fontId="0" fillId="6" borderId="1" pivotButton="0" quotePrefix="0" xfId="0"/>
    <xf numFmtId="3" fontId="0" fillId="6" borderId="1" pivotButton="0" quotePrefix="0" xfId="0"/>
    <xf numFmtId="9" fontId="0" fillId="6" borderId="1" pivotButton="0" quotePrefix="0" xfId="0"/>
    <xf numFmtId="1" fontId="0" fillId="6" borderId="1" pivotButton="0" quotePrefix="0" xfId="0"/>
    <xf numFmtId="4" fontId="0" fillId="6" borderId="1" pivotButton="0" quotePrefix="0" xfId="0"/>
    <xf numFmtId="165" fontId="0" fillId="6" borderId="1"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4" customWidth="1" min="2" max="2"/>
    <col width="14" customWidth="1" min="3" max="3"/>
    <col width="14" customWidth="1" min="4" max="4"/>
    <col width="70" customWidth="1" min="5" max="5"/>
  </cols>
  <sheetData>
    <row r="1">
      <c r="A1" s="1" t="inlineStr">
        <is>
          <t>GCO first pilot: cost and profitability worksheet (adjustable assumptions)</t>
        </is>
      </c>
    </row>
    <row r="2" ht="48" customHeight="1">
      <c r="A2" s="2" t="inlineStr">
        <is>
          <t>ILLUSTRATIVE PLACEHOLDERS in the yellow cells are NOT proposals and NOT quotes. Replace every yellow cell with verified values (handling times, pay rates, price). Amounts in EUR, before VAT. Draft of 31 Oct 2026, for CEO review; no commercial commitment follows from it.</t>
        </is>
      </c>
    </row>
    <row r="4">
      <c r="A4" s="3" t="inlineStr">
        <is>
          <t>Item</t>
        </is>
      </c>
      <c r="B4" s="3" t="inlineStr">
        <is>
          <t>Cautious</t>
        </is>
      </c>
      <c r="C4" s="3" t="inlineStr">
        <is>
          <t>Base</t>
        </is>
      </c>
      <c r="D4" s="3" t="inlineStr">
        <is>
          <t>Optimistic</t>
        </is>
      </c>
      <c r="E4" s="3" t="inlineStr">
        <is>
          <t>Notes</t>
        </is>
      </c>
    </row>
    <row r="5">
      <c r="A5" s="4" t="inlineStr">
        <is>
          <t>INPUTS: coverage and staffing</t>
        </is>
      </c>
      <c r="B5" s="5" t="n"/>
      <c r="C5" s="5" t="n"/>
      <c r="D5" s="5" t="n"/>
      <c r="E5" s="5" t="n"/>
    </row>
    <row r="6">
      <c r="A6" s="6" t="inlineStr">
        <is>
          <t>Covered hours per week (H)</t>
        </is>
      </c>
      <c r="B6" s="7" t="n">
        <v>30</v>
      </c>
      <c r="C6" s="7" t="n">
        <v>40</v>
      </c>
      <c r="D6" s="7" t="n">
        <v>40</v>
      </c>
      <c r="E6" s="8" t="inlineStr">
        <is>
          <t>Set from the roster that can really be staffed; not 24/7.</t>
        </is>
      </c>
    </row>
    <row r="7">
      <c r="A7" s="6" t="inlineStr">
        <is>
          <t>Operators on shift at the same time (N)</t>
        </is>
      </c>
      <c r="B7" s="7" t="n">
        <v>2</v>
      </c>
      <c r="C7" s="7" t="n">
        <v>2</v>
      </c>
      <c r="D7" s="7" t="n">
        <v>3</v>
      </c>
      <c r="E7" s="8" t="inlineStr">
        <is>
          <t>At least 2 so one is the backup.</t>
        </is>
      </c>
    </row>
    <row r="8">
      <c r="A8" s="6" t="inlineStr">
        <is>
          <t>Operators employed (P)</t>
        </is>
      </c>
      <c r="B8" s="7" t="n">
        <v>3</v>
      </c>
      <c r="C8" s="7" t="n">
        <v>3</v>
      </c>
      <c r="D8" s="7" t="n">
        <v>5</v>
      </c>
      <c r="E8" s="8" t="inlineStr">
        <is>
          <t>For holidays and rotation; informational.</t>
        </is>
      </c>
    </row>
    <row r="9">
      <c r="A9" s="6" t="inlineStr">
        <is>
          <t>Weeks per month</t>
        </is>
      </c>
      <c r="B9" s="7" t="n">
        <v>4.33</v>
      </c>
      <c r="C9" s="7" t="n">
        <v>4.33</v>
      </c>
      <c r="D9" s="7" t="n">
        <v>4.33</v>
      </c>
      <c r="E9" s="8" t="inlineStr">
        <is>
          <t>52 / 12.</t>
        </is>
      </c>
    </row>
    <row r="10">
      <c r="A10" s="6" t="inlineStr">
        <is>
          <t>Handled messages per operator-hour (M)</t>
        </is>
      </c>
      <c r="B10" s="7" t="n">
        <v>8</v>
      </c>
      <c r="C10" s="7" t="n">
        <v>12</v>
      </c>
      <c r="D10" s="7" t="n">
        <v>16</v>
      </c>
      <c r="E10" s="8" t="inlineStr">
        <is>
          <t>ASSUMPTION: replace with measured handling time from the pilot.</t>
        </is>
      </c>
    </row>
    <row r="11">
      <c r="A11" s="6" t="inlineStr">
        <is>
          <t>Occupancy (share of time answering) (O)</t>
        </is>
      </c>
      <c r="B11" s="9" t="n">
        <v>0.55</v>
      </c>
      <c r="C11" s="9" t="n">
        <v>0.65</v>
      </c>
      <c r="D11" s="9" t="n">
        <v>0.75</v>
      </c>
      <c r="E11" s="8" t="inlineStr">
        <is>
          <t>ASSUMPTION: validate in the pilot.</t>
        </is>
      </c>
    </row>
    <row r="12">
      <c r="A12" s="6" t="inlineStr">
        <is>
          <t>Client demand: billable messages per month</t>
        </is>
      </c>
      <c r="B12" s="7" t="n">
        <v>1500</v>
      </c>
      <c r="C12" s="7" t="n">
        <v>3000</v>
      </c>
      <c r="D12" s="7" t="n">
        <v>5000</v>
      </c>
      <c r="E12" s="8" t="inlineStr">
        <is>
          <t>From the client's brief; billable = the lower of demand and capacity.</t>
        </is>
      </c>
    </row>
    <row r="13">
      <c r="A13" s="4" t="inlineStr">
        <is>
          <t>INPUTS: price and pay</t>
        </is>
      </c>
      <c r="B13" s="5" t="n"/>
      <c r="C13" s="5" t="n"/>
      <c r="D13" s="5" t="n"/>
      <c r="E13" s="5" t="n"/>
    </row>
    <row r="14">
      <c r="A14" s="6" t="inlineStr">
        <is>
          <t>Price per billable message (S)</t>
        </is>
      </c>
      <c r="B14" s="10" t="n">
        <v>0.4</v>
      </c>
      <c r="C14" s="10" t="n">
        <v>0.5</v>
      </c>
      <c r="D14" s="10" t="n">
        <v>0.6</v>
      </c>
      <c r="E14" s="8" t="inlineStr">
        <is>
          <t>Usage-based, no fixed monthly fee (CEO preference). Final rate only from verified cost.</t>
        </is>
      </c>
    </row>
    <row r="15">
      <c r="A15" s="6" t="inlineStr">
        <is>
          <t>Share of billed revenue actually collected</t>
        </is>
      </c>
      <c r="B15" s="9" t="n">
        <v>0.9</v>
      </c>
      <c r="C15" s="9" t="n">
        <v>0.95</v>
      </c>
      <c r="D15" s="9" t="n">
        <v>1</v>
      </c>
      <c r="E15" s="8" t="inlineStr">
        <is>
          <t>Late or disputed payments reduce it.</t>
        </is>
      </c>
    </row>
    <row r="16">
      <c r="A16" s="6" t="inlineStr">
        <is>
          <t>Operator pay basis (1 = per hour, 2 = per accepted message)</t>
        </is>
      </c>
      <c r="B16" s="7" t="n">
        <v>1</v>
      </c>
      <c r="C16" s="7" t="n">
        <v>1</v>
      </c>
      <c r="D16" s="7" t="n">
        <v>1</v>
      </c>
      <c r="E16" s="8" t="inlineStr">
        <is>
          <t>Switch.</t>
        </is>
      </c>
    </row>
    <row r="17">
      <c r="A17" s="6" t="inlineStr">
        <is>
          <t>Operator pay per hour</t>
        </is>
      </c>
      <c r="B17" s="10" t="n">
        <v>7</v>
      </c>
      <c r="C17" s="10" t="n">
        <v>8</v>
      </c>
      <c r="D17" s="10" t="n">
        <v>9</v>
      </c>
      <c r="E17" s="8" t="inlineStr">
        <is>
          <t>PLACEHOLDER: real compensation rule to be decided.</t>
        </is>
      </c>
    </row>
    <row r="18">
      <c r="A18" s="6" t="inlineStr">
        <is>
          <t>Operator pay per accepted message</t>
        </is>
      </c>
      <c r="B18" s="10" t="n">
        <v>0.2</v>
      </c>
      <c r="C18" s="10" t="n">
        <v>0.25</v>
      </c>
      <c r="D18" s="10" t="n">
        <v>0.3</v>
      </c>
      <c r="E18" s="8" t="inlineStr">
        <is>
          <t>PLACEHOLDER (used only if basis = 2).</t>
        </is>
      </c>
    </row>
    <row r="19">
      <c r="A19" s="6" t="inlineStr">
        <is>
          <t>Operator on-costs (% on top of pay)</t>
        </is>
      </c>
      <c r="B19" s="9" t="n">
        <v>0</v>
      </c>
      <c r="C19" s="9" t="n">
        <v>0</v>
      </c>
      <c r="D19" s="9" t="n">
        <v>0</v>
      </c>
      <c r="E19" s="8" t="inlineStr">
        <is>
          <t>Contractor fees, payment fees or taxes: confirm with the accountant.</t>
        </is>
      </c>
    </row>
    <row r="20">
      <c r="A20" s="6" t="inlineStr">
        <is>
          <t>Supervisor cost per month</t>
        </is>
      </c>
      <c r="B20" s="10" t="n">
        <v>0</v>
      </c>
      <c r="C20" s="10" t="n">
        <v>0</v>
      </c>
      <c r="D20" s="10" t="n">
        <v>0</v>
      </c>
      <c r="E20" s="8" t="inlineStr">
        <is>
          <t>CEO/CTO supervise at no extra cost initially; enter hours x rate if paid.</t>
        </is>
      </c>
    </row>
    <row r="21">
      <c r="A21" s="4" t="inlineStr">
        <is>
          <t>INPUTS: fixed and one-off costs per month</t>
        </is>
      </c>
      <c r="B21" s="5" t="n"/>
      <c r="C21" s="5" t="n"/>
      <c r="D21" s="5" t="n"/>
      <c r="E21" s="5" t="n"/>
    </row>
    <row r="22">
      <c r="A22" s="6" t="inlineStr">
        <is>
          <t>Platform fixed cost (server, backups, IP, Workspace)</t>
        </is>
      </c>
      <c r="B22" s="10" t="n">
        <v>59.29</v>
      </c>
      <c r="C22" s="10" t="n">
        <v>59.29</v>
      </c>
      <c r="D22" s="10" t="n">
        <v>59.29</v>
      </c>
      <c r="E22" s="8" t="inlineStr">
        <is>
          <t>From docs/readiness/05 (CEO-confirmed, 21 Oct). Add AI subscriptions only if charged to the pilot.</t>
        </is>
      </c>
    </row>
    <row r="23">
      <c r="A23" s="6" t="inlineStr">
        <is>
          <t>Monitoring, test server and other tools</t>
        </is>
      </c>
      <c r="B23" s="10" t="n">
        <v>0</v>
      </c>
      <c r="C23" s="10" t="n">
        <v>0</v>
      </c>
      <c r="D23" s="10" t="n">
        <v>0</v>
      </c>
      <c r="E23" s="8" t="inlineStr">
        <is>
          <t>Each needs your written approval and a quote first.</t>
        </is>
      </c>
    </row>
    <row r="24">
      <c r="A24" s="6" t="inlineStr">
        <is>
          <t>Legal, accounting, security test (spread per month)</t>
        </is>
      </c>
      <c r="B24" s="10" t="n">
        <v>0</v>
      </c>
      <c r="C24" s="10" t="n">
        <v>0</v>
      </c>
      <c r="D24" s="10" t="n">
        <v>0</v>
      </c>
      <c r="E24" s="8" t="inlineStr">
        <is>
          <t>Enter total cost divided by the months you want to recover it over.</t>
        </is>
      </c>
    </row>
    <row r="25">
      <c r="A25" s="4" t="inlineStr">
        <is>
          <t>INPUTS: commissions</t>
        </is>
      </c>
      <c r="B25" s="5" t="n"/>
      <c r="C25" s="5" t="n"/>
      <c r="D25" s="5" t="n"/>
      <c r="E25" s="5" t="n"/>
    </row>
    <row r="26">
      <c r="A26" s="6" t="inlineStr">
        <is>
          <t>Partner / hunter commission (% of revenue collected)</t>
        </is>
      </c>
      <c r="B26" s="9" t="n">
        <v>0</v>
      </c>
      <c r="C26" s="9" t="n">
        <v>0.1</v>
      </c>
      <c r="D26" s="9" t="n">
        <v>0.1</v>
      </c>
      <c r="E26" s="8" t="inlineStr">
        <is>
          <t>10% recurring if the client was introduced under a written agreement; 0 if not.</t>
        </is>
      </c>
    </row>
    <row r="27">
      <c r="A27" s="6" t="inlineStr">
        <is>
          <t>HR sourcing commission (% of operator pay)</t>
        </is>
      </c>
      <c r="B27" s="9" t="n">
        <v>0</v>
      </c>
      <c r="C27" s="9" t="n">
        <v>0</v>
      </c>
      <c r="D27" s="9" t="n">
        <v>0.1</v>
      </c>
      <c r="E27" s="8" t="inlineStr">
        <is>
          <t>10% for the first 3 active months of an introduced operator; 0 otherwise.</t>
        </is>
      </c>
    </row>
    <row r="28">
      <c r="A28" s="4" t="inlineStr">
        <is>
          <t>CALCULATIONS</t>
        </is>
      </c>
      <c r="B28" s="5" t="n"/>
      <c r="C28" s="5" t="n"/>
      <c r="D28" s="5" t="n"/>
      <c r="E28" s="5" t="n"/>
    </row>
    <row r="29">
      <c r="A29" s="6" t="inlineStr">
        <is>
          <t>Staffed operator-hours per month</t>
        </is>
      </c>
      <c r="B29" s="11">
        <f>B6*B9*B7</f>
        <v/>
      </c>
      <c r="C29" s="11">
        <f>C6*C9*C7</f>
        <v/>
      </c>
      <c r="D29" s="11">
        <f>D6*D9*D7</f>
        <v/>
      </c>
      <c r="E29" s="8" t="inlineStr">
        <is>
          <t>H x weeks x N</t>
        </is>
      </c>
    </row>
    <row r="30">
      <c r="A30" s="6" t="inlineStr">
        <is>
          <t>Human capacity: messages per month</t>
        </is>
      </c>
      <c r="B30" s="12">
        <f>B29*B10*B11</f>
        <v/>
      </c>
      <c r="C30" s="12">
        <f>C29*C10*C11</f>
        <v/>
      </c>
      <c r="D30" s="12">
        <f>D29*D10*D11</f>
        <v/>
      </c>
      <c r="E30" s="8" t="inlineStr">
        <is>
          <t>hours x M x O</t>
        </is>
      </c>
    </row>
    <row r="31">
      <c r="A31" s="6" t="inlineStr">
        <is>
          <t>Billable messages per month</t>
        </is>
      </c>
      <c r="B31" s="12">
        <f>MIN(B12,B30)</f>
        <v/>
      </c>
      <c r="C31" s="12">
        <f>MIN(C12,C30)</f>
        <v/>
      </c>
      <c r="D31" s="12">
        <f>MIN(D12,D30)</f>
        <v/>
      </c>
      <c r="E31" s="8" t="inlineStr">
        <is>
          <t>lower of demand and capacity</t>
        </is>
      </c>
    </row>
    <row r="32">
      <c r="A32" s="6" t="inlineStr">
        <is>
          <t>Capacity used (billable / capacity)</t>
        </is>
      </c>
      <c r="B32" s="13">
        <f>IF(B30=0,0,B31/B30)</f>
        <v/>
      </c>
      <c r="C32" s="13">
        <f>IF(C30=0,0,C31/C30)</f>
        <v/>
      </c>
      <c r="D32" s="13">
        <f>IF(D30=0,0,D31/D30)</f>
        <v/>
      </c>
      <c r="E32" s="8" t="inlineStr">
        <is>
          <t>Above 100% of demand means spare capacity.</t>
        </is>
      </c>
    </row>
    <row r="33">
      <c r="A33" s="6" t="inlineStr">
        <is>
          <t>Concurrent conversations (N x 2)</t>
        </is>
      </c>
      <c r="B33" s="14">
        <f>B7*2</f>
        <v/>
      </c>
      <c r="C33" s="14">
        <f>C7*2</f>
        <v/>
      </c>
      <c r="D33" s="14">
        <f>D7*2</f>
        <v/>
      </c>
      <c r="E33" s="8" t="inlineStr">
        <is>
          <t>At the default capacity setting of 2 per operator.</t>
        </is>
      </c>
    </row>
    <row r="34">
      <c r="A34" s="6" t="inlineStr">
        <is>
          <t>Revenue billed</t>
        </is>
      </c>
      <c r="B34" s="15">
        <f>B31*B14</f>
        <v/>
      </c>
      <c r="C34" s="15">
        <f>C31*C14</f>
        <v/>
      </c>
      <c r="D34" s="15">
        <f>D31*D14</f>
        <v/>
      </c>
      <c r="E34" s="8" t="inlineStr"/>
    </row>
    <row r="35">
      <c r="A35" s="6" t="inlineStr">
        <is>
          <t>Revenue collected</t>
        </is>
      </c>
      <c r="B35" s="15">
        <f>B34*B15</f>
        <v/>
      </c>
      <c r="C35" s="15">
        <f>C34*C15</f>
        <v/>
      </c>
      <c r="D35" s="15">
        <f>D34*D15</f>
        <v/>
      </c>
      <c r="E35" s="8" t="inlineStr"/>
    </row>
    <row r="36">
      <c r="A36" s="6" t="inlineStr">
        <is>
          <t>Operator pay</t>
        </is>
      </c>
      <c r="B36" s="15">
        <f>IF(B16=1,B29*B17,B31*B18)</f>
        <v/>
      </c>
      <c r="C36" s="15">
        <f>IF(C16=1,C29*C17,C31*C18)</f>
        <v/>
      </c>
      <c r="D36" s="15">
        <f>IF(D16=1,D29*D17,D31*D18)</f>
        <v/>
      </c>
      <c r="E36" s="8" t="inlineStr"/>
    </row>
    <row r="37">
      <c r="A37" s="6" t="inlineStr">
        <is>
          <t>Operator on-costs</t>
        </is>
      </c>
      <c r="B37" s="15">
        <f>B36*B19</f>
        <v/>
      </c>
      <c r="C37" s="15">
        <f>C36*C19</f>
        <v/>
      </c>
      <c r="D37" s="15">
        <f>D36*D19</f>
        <v/>
      </c>
      <c r="E37" s="8" t="inlineStr"/>
    </row>
    <row r="38">
      <c r="A38" s="6" t="inlineStr">
        <is>
          <t>Supervisor cost</t>
        </is>
      </c>
      <c r="B38" s="15">
        <f>B20</f>
        <v/>
      </c>
      <c r="C38" s="15">
        <f>C20</f>
        <v/>
      </c>
      <c r="D38" s="15">
        <f>D20</f>
        <v/>
      </c>
      <c r="E38" s="8" t="inlineStr"/>
    </row>
    <row r="39">
      <c r="A39" s="6" t="inlineStr">
        <is>
          <t>Platform and other fixed costs</t>
        </is>
      </c>
      <c r="B39" s="15">
        <f>B22+B23+B24</f>
        <v/>
      </c>
      <c r="C39" s="15">
        <f>C22+C23+C24</f>
        <v/>
      </c>
      <c r="D39" s="15">
        <f>D22+D23+D24</f>
        <v/>
      </c>
      <c r="E39" s="8" t="inlineStr"/>
    </row>
    <row r="40">
      <c r="A40" s="6" t="inlineStr">
        <is>
          <t>Partner / hunter commission</t>
        </is>
      </c>
      <c r="B40" s="15">
        <f>B35*B26</f>
        <v/>
      </c>
      <c r="C40" s="15">
        <f>C35*C26</f>
        <v/>
      </c>
      <c r="D40" s="15">
        <f>D35*D26</f>
        <v/>
      </c>
      <c r="E40" s="8" t="inlineStr"/>
    </row>
    <row r="41">
      <c r="A41" s="6" t="inlineStr">
        <is>
          <t>HR sourcing commission</t>
        </is>
      </c>
      <c r="B41" s="15">
        <f>B36*B27</f>
        <v/>
      </c>
      <c r="C41" s="15">
        <f>C36*C27</f>
        <v/>
      </c>
      <c r="D41" s="15">
        <f>D36*D27</f>
        <v/>
      </c>
      <c r="E41" s="8" t="inlineStr"/>
    </row>
    <row r="42">
      <c r="A42" s="6" t="inlineStr">
        <is>
          <t>TOTAL COSTS</t>
        </is>
      </c>
      <c r="B42" s="15">
        <f>B36+B37+B38+B39+B40+B41</f>
        <v/>
      </c>
      <c r="C42" s="15">
        <f>C36+C37+C38+C39+C40+C41</f>
        <v/>
      </c>
      <c r="D42" s="15">
        <f>D36+D37+D38+D39+D40+D41</f>
        <v/>
      </c>
      <c r="E42" s="8" t="inlineStr"/>
    </row>
    <row r="43">
      <c r="A43" s="6" t="inlineStr">
        <is>
          <t>PROFIT (collected revenue minus total costs)</t>
        </is>
      </c>
      <c r="B43" s="15">
        <f>B35-B42</f>
        <v/>
      </c>
      <c r="C43" s="15">
        <f>C35-C42</f>
        <v/>
      </c>
      <c r="D43" s="15">
        <f>D35-D42</f>
        <v/>
      </c>
      <c r="E43" s="8" t="inlineStr">
        <is>
          <t>Positive means the pilot covers its costs on these assumptions.</t>
        </is>
      </c>
    </row>
    <row r="44">
      <c r="A44" s="6" t="inlineStr">
        <is>
          <t>Margin on collected revenue</t>
        </is>
      </c>
      <c r="B44" s="13">
        <f>IF(B35=0,0,B43/B35)</f>
        <v/>
      </c>
      <c r="C44" s="13">
        <f>IF(C35=0,0,C43/C35)</f>
        <v/>
      </c>
      <c r="D44" s="13">
        <f>IF(D35=0,0,D43/D35)</f>
        <v/>
      </c>
      <c r="E44" s="8" t="inlineStr"/>
    </row>
    <row r="45">
      <c r="A45" s="6" t="inlineStr">
        <is>
          <t>Cost per billable message</t>
        </is>
      </c>
      <c r="B45" s="16">
        <f>IF(B31=0,0,B42/B31)</f>
        <v/>
      </c>
      <c r="C45" s="16">
        <f>IF(C31=0,0,C42/C31)</f>
        <v/>
      </c>
      <c r="D45" s="16">
        <f>IF(D31=0,0,D42/D31)</f>
        <v/>
      </c>
      <c r="E45" s="8" t="inlineStr">
        <is>
          <t>Compare with the price per message.</t>
        </is>
      </c>
    </row>
    <row r="46">
      <c r="A46" s="6" t="inlineStr">
        <is>
          <t>Break-even price per message</t>
        </is>
      </c>
      <c r="B46" s="16">
        <f>IF(B31=0,0,(B42-B40)/B31/B15/(1-B26))</f>
        <v/>
      </c>
      <c r="C46" s="16">
        <f>IF(C31=0,0,(C42-C40)/C31/C15/(1-C26))</f>
        <v/>
      </c>
      <c r="D46" s="16">
        <f>IF(D31=0,0,(D42-D40)/D31/D15/(1-D26))</f>
        <v/>
      </c>
      <c r="E46" s="8" t="inlineStr">
        <is>
          <t>Price per message at which profit is zero for the billable volume above (partner commission is a share of revenue, so it is handled inside).</t>
        </is>
      </c>
    </row>
    <row r="47">
      <c r="A47" s="6" t="inlineStr">
        <is>
          <t>Break-even billable messages (hourly pay basis)</t>
        </is>
      </c>
      <c r="B47" s="12">
        <f>IF(B16=1,IF(B14*B15*(1-B26)&lt;=0,0,(B36+B37+B38+B39+B41)/(B14*B15*(1-B26))),"n/a")</f>
        <v/>
      </c>
      <c r="C47" s="12">
        <f>IF(C16=1,IF(C14*C15*(1-C26)&lt;=0,0,(C36+C37+C38+C39+C41)/(C14*C15*(1-C26))),"n/a")</f>
        <v/>
      </c>
      <c r="D47" s="12">
        <f>IF(D16=1,IF(D14*D15*(1-D26)&lt;=0,0,(D36+D37+D38+D39+D41)/(D14*D15*(1-D26))),"n/a")</f>
        <v/>
      </c>
      <c r="E47" s="8" t="inlineStr">
        <is>
          <t>Fixed-cost recovery volume; only meaningful for hourly pay.</t>
        </is>
      </c>
    </row>
    <row r="48">
      <c r="A48" s="6" t="n"/>
      <c r="B48" s="6" t="n"/>
      <c r="C48" s="6" t="n"/>
      <c r="D48" s="6" t="n"/>
      <c r="E48" s="6" t="n"/>
    </row>
  </sheetData>
  <mergeCells count="1">
    <mergeCell ref="A2:E2"/>
  </mergeCells>
  <dataValidations count="1">
    <dataValidation sqref="B16 C16 D16" showDropDown="0" showInputMessage="0" showErrorMessage="0" allowBlank="0" type="list">
      <formula1>"1,2"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17" t="inlineStr">
        <is>
          <t>1. Replace every yellow cell on 'Pilot calculator' with a verified value. The three columns are scenarios (cautious, base, optimistic); change them freely.</t>
        </is>
      </c>
    </row>
    <row r="2">
      <c r="A2" s="17" t="inlineStr">
        <is>
          <t>2. Green cells are formulas; do not overwrite them.</t>
        </is>
      </c>
    </row>
    <row r="3">
      <c r="A3" s="17" t="inlineStr">
        <is>
          <t>3. Handling time (messages per operator-hour) and occupancy are ASSUMPTIONS until the pilot measures them; the capacity result is only as good as they are.</t>
        </is>
      </c>
    </row>
    <row r="4">
      <c r="A4" s="17" t="inlineStr">
        <is>
          <t>4. Pay basis: 1 = per hour (fixed labour for the staffed hours), 2 = per accepted message (labour grows with volume).</t>
        </is>
      </c>
    </row>
    <row r="5">
      <c r="A5" s="17" t="inlineStr">
        <is>
          <t>5. Platform fixed cost default (59.29 EUR/month) = Hetzner CPX32 35.49 + server backups 7.10 + IPv4 0.50 + Google Workspace 16.20 (CEO-confirmed 21 Oct 2026). Add other costs only with approval.</t>
        </is>
      </c>
    </row>
    <row r="6">
      <c r="A6" s="17" t="inlineStr">
        <is>
          <t>6. Commissions: partner/hunter 10% of revenue collected (recurring) and HR 10% of operator pay (3 months) apply only under written, legally reviewed agreements.</t>
        </is>
      </c>
    </row>
    <row r="7">
      <c r="A7" s="17" t="inlineStr">
        <is>
          <t>7. Amounts are before VAT. Tax treatment, e-invoicing and operator contractual costs need the accountant.</t>
        </is>
      </c>
    </row>
    <row r="8">
      <c r="A8" s="17" t="inlineStr">
        <is>
          <t>8. This is a planning tool, not a quote, a price list or a commitment. No capacity or price may be quoted to a client from it until the pilot has measured real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2026-10-31T12:31:25Z</dcterms:created>
  <dcterms:modified xsi:type="dcterms:W3CDTF">2026-10-31T12:31:42Z</dcterms:modified>
</cp:coreProperties>
</file>